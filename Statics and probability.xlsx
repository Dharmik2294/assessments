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C7EBE154-57E7-42B6-AA03-FDAE9A4AC721}" xr6:coauthVersionLast="47" xr6:coauthVersionMax="47" xr10:uidLastSave="{00000000-0000-0000-0000-000000000000}"/>
  <bookViews>
    <workbookView xWindow="-108" yWindow="-108" windowWidth="23256" windowHeight="13176" xr2:uid="{0377F0DD-8D39-4E8A-B7E5-50E2980E7FE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7" i="1" l="1"/>
  <c r="G17" i="1"/>
  <c r="I16" i="1"/>
  <c r="I15" i="1"/>
  <c r="I17" i="1" l="1"/>
  <c r="M15" i="1" s="1"/>
  <c r="H4" i="1"/>
  <c r="F4" i="1"/>
  <c r="G4" i="1" s="1"/>
  <c r="L16" i="1" l="1"/>
  <c r="L15" i="1"/>
  <c r="M16" i="1"/>
  <c r="M17" i="1" s="1"/>
  <c r="N16" i="1" l="1"/>
  <c r="L17" i="1"/>
  <c r="N17" i="1" s="1"/>
  <c r="N15" i="1"/>
</calcChain>
</file>

<file path=xl/sharedStrings.xml><?xml version="1.0" encoding="utf-8"?>
<sst xmlns="http://schemas.openxmlformats.org/spreadsheetml/2006/main" count="37" uniqueCount="22">
  <si>
    <t>Question 1. There is an assumption that there is no significant difference between boys and girls with respect to intelligence. Tests are conducted on two groups and the following are the observations</t>
  </si>
  <si>
    <t>Mean</t>
  </si>
  <si>
    <t>Standard Deviation</t>
  </si>
  <si>
    <t>Size</t>
  </si>
  <si>
    <t>Girls</t>
  </si>
  <si>
    <t>Boys</t>
  </si>
  <si>
    <t>Validate the claim with 5% LoS (Level of Significance).</t>
  </si>
  <si>
    <t>Question 2. Analyze the below data and tell whether you can conclude that smoking causes cancer or not?</t>
  </si>
  <si>
    <t>Category</t>
  </si>
  <si>
    <t>Diagnosed as Cancer</t>
  </si>
  <si>
    <t>Without Cancer</t>
  </si>
  <si>
    <t>Total</t>
  </si>
  <si>
    <t>Smokers</t>
  </si>
  <si>
    <t>Non-Smokers</t>
  </si>
  <si>
    <t>Standard Error</t>
  </si>
  <si>
    <t>Z Value</t>
  </si>
  <si>
    <t>Z Critical</t>
  </si>
  <si>
    <t>z-value</t>
  </si>
  <si>
    <t>z-critical</t>
  </si>
  <si>
    <t>&gt;</t>
  </si>
  <si>
    <r>
      <t>H₀:</t>
    </r>
    <r>
      <rPr>
        <sz val="11"/>
        <color theme="1"/>
        <rFont val="Calibri"/>
        <family val="2"/>
        <scheme val="minor"/>
      </rPr>
      <t xml:space="preserve"> Smoking and cancer are independent</t>
    </r>
  </si>
  <si>
    <r>
      <t>H₁:</t>
    </r>
    <r>
      <rPr>
        <sz val="11"/>
        <color theme="1"/>
        <rFont val="Calibri"/>
        <family val="2"/>
        <scheme val="minor"/>
      </rPr>
      <t xml:space="preserve"> Smoking and cancer are associated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</si>
</sst>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1" xfId="0" applyBorder="1"/>
    <xf numFmtId="0" fontId="1" fillId="0" borderId="1" xfId="0" applyFont="1" applyBorder="1"/>
    <xf numFmtId="0" fontId="1" fillId="0" borderId="0" xfId="0" applyFont="1"/>
    <xf numFmtId="1" fontId="0" fillId="0" borderId="0" xfId="0" applyNumberFormat="1"/>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1" fillId="0" borderId="1" xfId="0" applyFont="1" applyBorder="1" applyAlignment="1">
      <alignment horizontal="center" vertical="center"/>
    </xf>
    <xf numFmtId="164" fontId="0" fillId="0" borderId="1" xfId="0" applyNumberFormat="1" applyBorder="1" applyAlignment="1">
      <alignment horizontal="center" vertical="center"/>
    </xf>
    <xf numFmtId="2" fontId="0" fillId="0" borderId="1" xfId="0" applyNumberFormat="1" applyBorder="1" applyAlignment="1">
      <alignment horizontal="center" vertical="center"/>
    </xf>
    <xf numFmtId="1" fontId="0" fillId="0" borderId="1"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B8BBB-B2A4-4767-A3E2-E3D353107EFE}">
  <dimension ref="A1:S20"/>
  <sheetViews>
    <sheetView tabSelected="1" workbookViewId="0">
      <selection activeCell="F15" sqref="F15"/>
    </sheetView>
  </sheetViews>
  <sheetFormatPr defaultRowHeight="14.4" x14ac:dyDescent="0.3"/>
  <cols>
    <col min="1" max="1" width="11.88671875" customWidth="1"/>
    <col min="2" max="2" width="14.5546875" customWidth="1"/>
    <col min="3" max="3" width="18.33203125" customWidth="1"/>
    <col min="4" max="4" width="8.88671875" customWidth="1"/>
    <col min="6" max="6" width="13" customWidth="1"/>
    <col min="7" max="7" width="18.44140625" bestFit="1" customWidth="1"/>
    <col min="8" max="8" width="14.21875" bestFit="1" customWidth="1"/>
    <col min="11" max="11" width="12" bestFit="1" customWidth="1"/>
    <col min="12" max="12" width="18.44140625" bestFit="1" customWidth="1"/>
    <col min="13" max="13" width="14.21875" bestFit="1" customWidth="1"/>
  </cols>
  <sheetData>
    <row r="1" spans="1:19" x14ac:dyDescent="0.3">
      <c r="A1" s="3" t="s">
        <v>0</v>
      </c>
      <c r="B1" s="3"/>
      <c r="C1" s="3"/>
      <c r="D1" s="3"/>
      <c r="E1" s="3"/>
      <c r="F1" s="3"/>
      <c r="G1" s="3"/>
      <c r="H1" s="3"/>
      <c r="I1" s="3"/>
      <c r="J1" s="3"/>
      <c r="K1" s="3"/>
      <c r="L1" s="3"/>
      <c r="M1" s="3"/>
      <c r="N1" s="3"/>
      <c r="O1" s="3"/>
      <c r="P1" s="3"/>
      <c r="Q1" s="3"/>
      <c r="R1" s="3"/>
      <c r="S1" s="3"/>
    </row>
    <row r="3" spans="1:19" x14ac:dyDescent="0.3">
      <c r="A3" s="5" t="s">
        <v>1</v>
      </c>
      <c r="B3" s="6"/>
      <c r="C3" s="2" t="s">
        <v>2</v>
      </c>
      <c r="D3" s="2" t="s">
        <v>3</v>
      </c>
      <c r="F3" s="9" t="s">
        <v>14</v>
      </c>
      <c r="G3" s="9" t="s">
        <v>15</v>
      </c>
      <c r="H3" s="9" t="s">
        <v>16</v>
      </c>
    </row>
    <row r="4" spans="1:19" x14ac:dyDescent="0.3">
      <c r="A4" s="7"/>
      <c r="B4" s="7"/>
      <c r="C4" s="7"/>
      <c r="D4" s="7"/>
      <c r="F4" s="10">
        <f>SQRT((C5^2/D5)+(C6^2/D6))</f>
        <v>0.99749686716300023</v>
      </c>
      <c r="G4" s="11">
        <f>(B5-B6)/F4</f>
        <v>7.0175658996391963</v>
      </c>
      <c r="H4" s="11">
        <f>_xlfn.NORM.S.INV(1-0.05/2)</f>
        <v>1.9599639845400536</v>
      </c>
    </row>
    <row r="5" spans="1:19" x14ac:dyDescent="0.3">
      <c r="A5" s="7" t="s">
        <v>4</v>
      </c>
      <c r="B5" s="7">
        <v>89</v>
      </c>
      <c r="C5" s="7">
        <v>4</v>
      </c>
      <c r="D5" s="7">
        <v>50</v>
      </c>
    </row>
    <row r="6" spans="1:19" x14ac:dyDescent="0.3">
      <c r="A6" s="7" t="s">
        <v>5</v>
      </c>
      <c r="B6" s="7">
        <v>82</v>
      </c>
      <c r="C6" s="7">
        <v>9</v>
      </c>
      <c r="D6" s="7">
        <v>120</v>
      </c>
    </row>
    <row r="7" spans="1:19" x14ac:dyDescent="0.3">
      <c r="F7" s="8" t="s">
        <v>17</v>
      </c>
      <c r="G7" s="8"/>
      <c r="H7" s="8" t="s">
        <v>18</v>
      </c>
    </row>
    <row r="8" spans="1:19" x14ac:dyDescent="0.3">
      <c r="A8" s="3" t="s">
        <v>6</v>
      </c>
      <c r="C8" s="3"/>
      <c r="D8" s="3"/>
      <c r="E8" s="3"/>
      <c r="F8" s="8">
        <v>7.02</v>
      </c>
      <c r="G8" s="8" t="s">
        <v>19</v>
      </c>
      <c r="H8" s="8">
        <v>1.96</v>
      </c>
    </row>
    <row r="11" spans="1:19" x14ac:dyDescent="0.3">
      <c r="A11" s="3" t="s">
        <v>7</v>
      </c>
      <c r="C11" s="3"/>
      <c r="D11" s="3"/>
      <c r="E11" s="3"/>
      <c r="F11" s="3"/>
      <c r="G11" s="3"/>
      <c r="H11" s="3"/>
      <c r="I11" s="3"/>
      <c r="J11" s="3"/>
    </row>
    <row r="13" spans="1:19" x14ac:dyDescent="0.3">
      <c r="A13" s="9" t="s">
        <v>8</v>
      </c>
      <c r="B13" s="9" t="s">
        <v>9</v>
      </c>
      <c r="C13" s="9" t="s">
        <v>10</v>
      </c>
      <c r="D13" s="9" t="s">
        <v>11</v>
      </c>
      <c r="F13" s="9" t="s">
        <v>8</v>
      </c>
      <c r="G13" s="9" t="s">
        <v>9</v>
      </c>
      <c r="H13" s="9" t="s">
        <v>10</v>
      </c>
      <c r="I13" s="9" t="s">
        <v>11</v>
      </c>
      <c r="K13" s="9" t="s">
        <v>8</v>
      </c>
      <c r="L13" s="9" t="s">
        <v>9</v>
      </c>
      <c r="M13" s="9" t="s">
        <v>10</v>
      </c>
      <c r="N13" s="9" t="s">
        <v>11</v>
      </c>
    </row>
    <row r="14" spans="1:19" x14ac:dyDescent="0.3">
      <c r="A14" s="1"/>
      <c r="B14" s="1"/>
      <c r="C14" s="1"/>
      <c r="D14" s="1"/>
      <c r="F14" s="1"/>
      <c r="G14" s="1"/>
      <c r="H14" s="1"/>
      <c r="I14" s="1"/>
      <c r="K14" s="1"/>
      <c r="L14" s="1"/>
      <c r="M14" s="1"/>
      <c r="N14" s="1"/>
    </row>
    <row r="15" spans="1:19" x14ac:dyDescent="0.3">
      <c r="A15" s="7" t="s">
        <v>12</v>
      </c>
      <c r="B15" s="7">
        <v>220</v>
      </c>
      <c r="C15" s="7">
        <v>230</v>
      </c>
      <c r="D15" s="7">
        <v>550</v>
      </c>
      <c r="F15" s="7" t="s">
        <v>12</v>
      </c>
      <c r="G15" s="7">
        <v>220</v>
      </c>
      <c r="H15" s="7">
        <v>230</v>
      </c>
      <c r="I15" s="7">
        <f>SUM(G15:H15)</f>
        <v>450</v>
      </c>
      <c r="K15" s="7" t="s">
        <v>12</v>
      </c>
      <c r="L15" s="7">
        <f>$I15*G17/$I$17</f>
        <v>178.125</v>
      </c>
      <c r="M15" s="7">
        <f>I15*H17/I17</f>
        <v>271.875</v>
      </c>
      <c r="N15" s="7">
        <f>SUM(L15:M15)</f>
        <v>450</v>
      </c>
    </row>
    <row r="16" spans="1:19" x14ac:dyDescent="0.3">
      <c r="A16" s="7" t="s">
        <v>13</v>
      </c>
      <c r="B16" s="7">
        <v>350</v>
      </c>
      <c r="C16" s="7">
        <v>640</v>
      </c>
      <c r="D16" s="7">
        <v>990</v>
      </c>
      <c r="F16" s="7" t="s">
        <v>13</v>
      </c>
      <c r="G16" s="7">
        <v>350</v>
      </c>
      <c r="H16" s="7">
        <v>640</v>
      </c>
      <c r="I16" s="7">
        <f>SUM(G16:H16)</f>
        <v>990</v>
      </c>
      <c r="K16" s="7" t="s">
        <v>13</v>
      </c>
      <c r="L16" s="7">
        <f>I16*G17/I17</f>
        <v>391.875</v>
      </c>
      <c r="M16" s="7">
        <f>I16*H17/I17</f>
        <v>598.125</v>
      </c>
      <c r="N16" s="7">
        <f>SUM(L16:M16)</f>
        <v>990</v>
      </c>
    </row>
    <row r="17" spans="1:14" x14ac:dyDescent="0.3">
      <c r="A17" s="7" t="s">
        <v>11</v>
      </c>
      <c r="B17" s="7">
        <v>680</v>
      </c>
      <c r="C17" s="7">
        <v>910</v>
      </c>
      <c r="D17" s="7">
        <v>1590</v>
      </c>
      <c r="F17" s="7" t="s">
        <v>11</v>
      </c>
      <c r="G17" s="12">
        <f>SUM(G15:G16)</f>
        <v>570</v>
      </c>
      <c r="H17" s="12">
        <f>SUM(H15:H16)</f>
        <v>870</v>
      </c>
      <c r="I17" s="12">
        <f>SUM(I15:I16)</f>
        <v>1440</v>
      </c>
      <c r="K17" s="7" t="s">
        <v>11</v>
      </c>
      <c r="L17" s="7">
        <f>SUM(L15:L16)</f>
        <v>570</v>
      </c>
      <c r="M17" s="7">
        <f>SUM(M15:M16)</f>
        <v>870</v>
      </c>
      <c r="N17" s="7">
        <f>SUM(L17:M17)</f>
        <v>1440</v>
      </c>
    </row>
    <row r="19" spans="1:14" x14ac:dyDescent="0.3">
      <c r="A19" s="3" t="s">
        <v>20</v>
      </c>
      <c r="H19" s="4"/>
    </row>
    <row r="20" spans="1:14" x14ac:dyDescent="0.3">
      <c r="A20" s="3" t="s">
        <v>21</v>
      </c>
    </row>
  </sheetData>
  <mergeCells count="1">
    <mergeCell ref="A3: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Dixit Pandya</dc:creator>
  <cp:lastModifiedBy>dharmikpatel398@gmail.com</cp:lastModifiedBy>
  <dcterms:created xsi:type="dcterms:W3CDTF">2026-02-09T05:57:24Z</dcterms:created>
  <dcterms:modified xsi:type="dcterms:W3CDTF">2026-04-11T06:23:13Z</dcterms:modified>
</cp:coreProperties>
</file>